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3f03254cade634/Desktop/"/>
    </mc:Choice>
  </mc:AlternateContent>
  <xr:revisionPtr revIDLastSave="11" documentId="13_ncr:1_{74DBEA9B-C8EA-4E82-825C-D652D22F7ECA}" xr6:coauthVersionLast="47" xr6:coauthVersionMax="47" xr10:uidLastSave="{DAE6DF76-EEF8-437C-B25A-1B20A8B60A23}"/>
  <bookViews>
    <workbookView xWindow="-108" yWindow="-108" windowWidth="23256" windowHeight="12576" activeTab="4" xr2:uid="{FCB42146-92B5-4934-BF34-00A95782F15C}"/>
  </bookViews>
  <sheets>
    <sheet name="Prima procedura" sheetId="1" r:id="rId1"/>
    <sheet name="2nd Procedure" sheetId="2" r:id="rId2"/>
    <sheet name="3nd Procedure" sheetId="3" r:id="rId3"/>
    <sheet name="3.1 Procedure" sheetId="4" r:id="rId4"/>
    <sheet name="4nd Procedure" sheetId="5" r:id="rId5"/>
    <sheet name="5nd Procedure" sheetId="6" r:id="rId6"/>
  </sheets>
  <definedNames>
    <definedName name="_xlnm._FilterDatabase" localSheetId="2" hidden="1">'3nd Procedure'!$A$24:$C$41</definedName>
    <definedName name="_xlchart.v2.0" hidden="1">'5nd Procedure'!$A$8:$A$17</definedName>
    <definedName name="_xlchart.v2.1" hidden="1">'5nd Procedure'!$E$7</definedName>
    <definedName name="_xlchart.v2.2" hidden="1">'5nd Procedure'!$E$8:$E$17</definedName>
    <definedName name="_xlchart.v2.3" hidden="1">'5nd Procedure'!$A$8:$A$17</definedName>
    <definedName name="_xlchart.v2.4" hidden="1">'5nd Procedure'!$E$7</definedName>
    <definedName name="_xlchart.v2.5" hidden="1">'5nd Procedure'!$E$8:$E$17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<sst xmlns="http://schemas.openxmlformats.org/spreadsheetml/2006/main" count="233" uniqueCount="61">
  <si>
    <t>ProductCategoryID</t>
  </si>
  <si>
    <t>Name</t>
  </si>
  <si>
    <t>TotalSales</t>
  </si>
  <si>
    <t>LineProfit</t>
  </si>
  <si>
    <t>Bikes</t>
  </si>
  <si>
    <t>Components</t>
  </si>
  <si>
    <t>Clothing</t>
  </si>
  <si>
    <t>Accessories</t>
  </si>
  <si>
    <t>Germany</t>
  </si>
  <si>
    <t>United Kingdom</t>
  </si>
  <si>
    <t>Australia</t>
  </si>
  <si>
    <t>Canada</t>
  </si>
  <si>
    <t>France</t>
  </si>
  <si>
    <t>United States</t>
  </si>
  <si>
    <t>CountryName</t>
  </si>
  <si>
    <t>CategoryName</t>
  </si>
  <si>
    <t>TotalOrders</t>
  </si>
  <si>
    <t>SalesPersonName</t>
  </si>
  <si>
    <t>JobTitle</t>
  </si>
  <si>
    <t>Linda Mitchell</t>
  </si>
  <si>
    <t>Sales Representative</t>
  </si>
  <si>
    <t>Jae Pak</t>
  </si>
  <si>
    <t>Jillian Carson</t>
  </si>
  <si>
    <t>Michael Blythe</t>
  </si>
  <si>
    <t>Shu Ito</t>
  </si>
  <si>
    <t>José Saraiva</t>
  </si>
  <si>
    <t>Tsvi Reiter</t>
  </si>
  <si>
    <t>Ranjit Varkey Chudukatil</t>
  </si>
  <si>
    <t>David Campbell</t>
  </si>
  <si>
    <t>Pamela Ansman-Wolfe</t>
  </si>
  <si>
    <t>Garrett Vargas</t>
  </si>
  <si>
    <t>Rachel Valdez</t>
  </si>
  <si>
    <t>Tete Mensa-Annan</t>
  </si>
  <si>
    <t>Stephen Jiang</t>
  </si>
  <si>
    <t>North American Sales Manager</t>
  </si>
  <si>
    <t>Lynn Tsoflias</t>
  </si>
  <si>
    <t>Amy Alberts</t>
  </si>
  <si>
    <t>European Sales Manager</t>
  </si>
  <si>
    <t>Syed Abbas</t>
  </si>
  <si>
    <t>Pacific Sales Manager</t>
  </si>
  <si>
    <t>Average Sales</t>
  </si>
  <si>
    <t>Average Orders</t>
  </si>
  <si>
    <t>ProductCategory</t>
  </si>
  <si>
    <t>Summer</t>
  </si>
  <si>
    <t>Seasons</t>
  </si>
  <si>
    <t>Spring</t>
  </si>
  <si>
    <t>Winter</t>
  </si>
  <si>
    <t>Autumn</t>
  </si>
  <si>
    <t>ProductName</t>
  </si>
  <si>
    <t>TotalSalesPerMonth</t>
  </si>
  <si>
    <t>AvgOrdersPerMonth</t>
  </si>
  <si>
    <t>Water Bottle - 30 oz.</t>
  </si>
  <si>
    <t>Patch Kit/8 Patches</t>
  </si>
  <si>
    <t>Mountain Tire Tube</t>
  </si>
  <si>
    <t>Road Tire Tube</t>
  </si>
  <si>
    <t>Fender Set - Mountain</t>
  </si>
  <si>
    <t>Mountain Bottle Cage</t>
  </si>
  <si>
    <t>Road Bottle Cage</t>
  </si>
  <si>
    <t>Touring Tire Tube</t>
  </si>
  <si>
    <t>HL Mountain Tire</t>
  </si>
  <si>
    <t>Bike Wash - Dissolver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</si>
</sst>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.00\ _l_e_i_-;\-* #,##0.00\ _l_e_i_-;_-* &quot;-&quot;??\ _l_e_i_-;_-@_-"/>
    <numFmt numFmtId="166" formatCode="_-* #,##0.0_-;\-* #,##0.0_-;_-* &quot;-&quot;??_-;_-@_-"/>
    <numFmt numFmtId="167" formatCode="_-* #,##0_-;\-* #,##0_-;_-* &quot;-&quot;??_-;_-@_-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164" fontId="0" fillId="0" borderId="0" xfId="1" applyFont="1"/>
    <xf numFmtId="165" fontId="0" fillId="0" borderId="0" xfId="0" applyNumberFormat="1"/>
    <xf numFmtId="166" fontId="0" fillId="0" borderId="0" xfId="1" applyNumberFormat="1" applyFont="1"/>
    <xf numFmtId="167" fontId="0" fillId="0" borderId="0" xfId="1" applyNumberFormat="1" applyFont="1"/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sALES/cATEGORY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'Prima procedura'!$A$2:$B$2</c:f>
              <c:strCache>
                <c:ptCount val="2"/>
                <c:pt idx="0">
                  <c:v>1</c:v>
                </c:pt>
                <c:pt idx="1">
                  <c:v>Bikes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 procedura'!$C$1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'Prima procedura'!$C$2</c:f>
              <c:numCache>
                <c:formatCode>_-* #,##0_-;\-* #,##0_-;_-* "-"??_-;_-@_-</c:formatCode>
                <c:ptCount val="1"/>
                <c:pt idx="0">
                  <c:v>1189845408.3578999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D-4B1C-9AC2-9A549DA55A21}"/>
            </c:ext>
          </c:extLst>
        </c:ser>
        <c:ser>
          <c:idx val="1"/>
          <c:order val="1"/>
          <c:tx>
            <c:strRef>
              <c:f>'Prima procedura'!$A$3:$B$3</c:f>
              <c:strCache>
                <c:ptCount val="2"/>
                <c:pt idx="0">
                  <c:v>2</c:v>
                </c:pt>
                <c:pt idx="1">
                  <c:v>Components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 procedura'!$C$1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'Prima procedura'!$C$3</c:f>
              <c:numCache>
                <c:formatCode>_-* #,##0_-;\-* #,##0_-;_-* "-"??_-;_-@_-</c:formatCode>
                <c:ptCount val="1"/>
                <c:pt idx="0">
                  <c:v>930569310.51429999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D-4B1C-9AC2-9A549DA55A21}"/>
            </c:ext>
          </c:extLst>
        </c:ser>
        <c:ser>
          <c:idx val="2"/>
          <c:order val="2"/>
          <c:tx>
            <c:strRef>
              <c:f>'Prima procedura'!$A$4:$B$4</c:f>
              <c:strCache>
                <c:ptCount val="2"/>
                <c:pt idx="0">
                  <c:v>3</c:v>
                </c:pt>
                <c:pt idx="1">
                  <c:v>Clothing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 procedura'!$C$1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'Prima procedura'!$C$4</c:f>
              <c:numCache>
                <c:formatCode>_-* #,##0_-;\-* #,##0_-;_-* "-"??_-;_-@_-</c:formatCode>
                <c:ptCount val="1"/>
                <c:pt idx="0">
                  <c:v>542468862.43959999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ED-4B1C-9AC2-9A549DA55A21}"/>
            </c:ext>
          </c:extLst>
        </c:ser>
        <c:ser>
          <c:idx val="3"/>
          <c:order val="3"/>
          <c:tx>
            <c:strRef>
              <c:f>'Prima procedura'!$A$5:$B$5</c:f>
              <c:strCache>
                <c:ptCount val="2"/>
                <c:pt idx="0">
                  <c:v>4</c:v>
                </c:pt>
                <c:pt idx="1">
                  <c:v>Accessories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 procedura'!$C$1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'Prima procedura'!$C$5</c:f>
              <c:numCache>
                <c:formatCode>_-* #,##0_-;\-* #,##0_-;_-* "-"??_-;_-@_-</c:formatCode>
                <c:ptCount val="1"/>
                <c:pt idx="0">
                  <c:v>264086542.72960001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ED-4B1C-9AC2-9A549DA55A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3192960"/>
        <c:axId val="103200160"/>
        <c:axId val="0"/>
      </c:bar3DChart>
      <c:catAx>
        <c:axId val="10319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0160"/>
        <c:crosses val="autoZero"/>
        <c:auto val="1"/>
        <c:lblAlgn val="ctr"/>
        <c:lblOffset val="100"/>
        <c:noMultiLvlLbl val="0"/>
      </c:catAx>
      <c:valAx>
        <c:axId val="103200160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0319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lINEPROFIT/CATEGORY</a:t>
            </a:r>
          </a:p>
        </c:rich>
      </c:tx>
      <c:layout>
        <c:manualLayout>
          <c:xMode val="edge"/>
          <c:yMode val="edge"/>
          <c:x val="0.30242226774944664"/>
          <c:y val="4.6108885955729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'Prima procedura'!$A$12:$B$12</c:f>
              <c:strCache>
                <c:ptCount val="2"/>
                <c:pt idx="0">
                  <c:v>1</c:v>
                </c:pt>
                <c:pt idx="1">
                  <c:v>Bikes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 procedura'!$C$11</c:f>
              <c:strCache>
                <c:ptCount val="1"/>
                <c:pt idx="0">
                  <c:v>LineProfit</c:v>
                </c:pt>
              </c:strCache>
            </c:strRef>
          </c:cat>
          <c:val>
            <c:numRef>
              <c:f>'Prima procedura'!$C$12</c:f>
              <c:numCache>
                <c:formatCode>#,##0</c:formatCode>
                <c:ptCount val="1"/>
                <c:pt idx="0">
                  <c:v>7936394.015931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C-4187-9C33-0618EDD0E5B2}"/>
            </c:ext>
          </c:extLst>
        </c:ser>
        <c:ser>
          <c:idx val="1"/>
          <c:order val="1"/>
          <c:tx>
            <c:strRef>
              <c:f>'Prima procedura'!$A$13:$B$13</c:f>
              <c:strCache>
                <c:ptCount val="2"/>
                <c:pt idx="0">
                  <c:v>2</c:v>
                </c:pt>
                <c:pt idx="1">
                  <c:v>Components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 procedura'!$C$11</c:f>
              <c:strCache>
                <c:ptCount val="1"/>
                <c:pt idx="0">
                  <c:v>LineProfit</c:v>
                </c:pt>
              </c:strCache>
            </c:strRef>
          </c:cat>
          <c:val>
            <c:numRef>
              <c:f>'Prima procedura'!$C$13</c:f>
              <c:numCache>
                <c:formatCode>#,##0</c:formatCode>
                <c:ptCount val="1"/>
                <c:pt idx="0">
                  <c:v>490233.18313000002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C-4187-9C33-0618EDD0E5B2}"/>
            </c:ext>
          </c:extLst>
        </c:ser>
        <c:ser>
          <c:idx val="2"/>
          <c:order val="2"/>
          <c:tx>
            <c:strRef>
              <c:f>'Prima procedura'!$A$14:$B$14</c:f>
              <c:strCache>
                <c:ptCount val="2"/>
                <c:pt idx="0">
                  <c:v>3</c:v>
                </c:pt>
                <c:pt idx="1">
                  <c:v>Clothing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 procedura'!$C$11</c:f>
              <c:strCache>
                <c:ptCount val="1"/>
                <c:pt idx="0">
                  <c:v>LineProfit</c:v>
                </c:pt>
              </c:strCache>
            </c:strRef>
          </c:cat>
          <c:val>
            <c:numRef>
              <c:f>'Prima procedura'!$C$14</c:f>
              <c:numCache>
                <c:formatCode>#,##0</c:formatCode>
                <c:ptCount val="1"/>
                <c:pt idx="0">
                  <c:v>308882.16710100003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C-4187-9C33-0618EDD0E5B2}"/>
            </c:ext>
          </c:extLst>
        </c:ser>
        <c:ser>
          <c:idx val="3"/>
          <c:order val="3"/>
          <c:tx>
            <c:strRef>
              <c:f>'Prima procedura'!$A$15:$B$15</c:f>
              <c:strCache>
                <c:ptCount val="2"/>
                <c:pt idx="0">
                  <c:v>4</c:v>
                </c:pt>
                <c:pt idx="1">
                  <c:v>Accessories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 procedura'!$C$11</c:f>
              <c:strCache>
                <c:ptCount val="1"/>
                <c:pt idx="0">
                  <c:v>LineProfit</c:v>
                </c:pt>
              </c:strCache>
            </c:strRef>
          </c:cat>
          <c:val>
            <c:numRef>
              <c:f>'Prima procedura'!$C$15</c:f>
              <c:numCache>
                <c:formatCode>#,##0</c:formatCode>
                <c:ptCount val="1"/>
                <c:pt idx="0">
                  <c:v>636394.26022599998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9C-4187-9C33-0618EDD0E5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3186720"/>
        <c:axId val="103184320"/>
        <c:axId val="0"/>
      </c:bar3DChart>
      <c:catAx>
        <c:axId val="10318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4320"/>
        <c:crosses val="autoZero"/>
        <c:auto val="1"/>
        <c:lblAlgn val="ctr"/>
        <c:lblOffset val="100"/>
        <c:noMultiLvlLbl val="0"/>
      </c:catAx>
      <c:valAx>
        <c:axId val="10318432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0318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Bikes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'2nd Procedure'!$A$2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Procedure'!$C$2</c:f>
              <c:numCache>
                <c:formatCode>_-* #,##0_-;\-* #,##0_-;_-* "-"??_-;_-@_-</c:formatCode>
                <c:ptCount val="1"/>
                <c:pt idx="0">
                  <c:v>32340979.389699999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B-4C4A-A166-1F660F95CC61}"/>
            </c:ext>
          </c:extLst>
        </c:ser>
        <c:ser>
          <c:idx val="1"/>
          <c:order val="1"/>
          <c:tx>
            <c:strRef>
              <c:f>'2nd Procedure'!$A$3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4.7742504030074975E-17"/>
                  <c:y val="-8.739428404782735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02B-4C4A-A166-1F660F95C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Procedure'!$C$3</c:f>
              <c:numCache>
                <c:formatCode>_-* #,##0_-;\-* #,##0_-;_-* "-"??_-;_-@_-</c:formatCode>
                <c:ptCount val="1"/>
                <c:pt idx="0">
                  <c:v>69794915.486100003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B-4C4A-A166-1F660F95CC61}"/>
            </c:ext>
          </c:extLst>
        </c:ser>
        <c:ser>
          <c:idx val="2"/>
          <c:order val="2"/>
          <c:tx>
            <c:strRef>
              <c:f>'2nd Procedure'!$A$4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Procedure'!$C$4</c:f>
              <c:numCache>
                <c:formatCode>_-* #,##0_-;\-* #,##0_-;_-* "-"??_-;_-@_-</c:formatCode>
                <c:ptCount val="1"/>
                <c:pt idx="0">
                  <c:v>33432157.642299999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2B-4C4A-A166-1F660F95CC61}"/>
            </c:ext>
          </c:extLst>
        </c:ser>
        <c:ser>
          <c:idx val="3"/>
          <c:order val="3"/>
          <c:tx>
            <c:strRef>
              <c:f>'2nd Procedure'!$A$5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2.6041666666666665E-3"/>
                  <c:y val="9.18999708369787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2B-4C4A-A166-1F660F95C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Procedure'!$C$5</c:f>
              <c:numCache>
                <c:formatCode>_-* #,##0_-;\-* #,##0_-;_-* "-"??_-;_-@_-</c:formatCode>
                <c:ptCount val="1"/>
                <c:pt idx="0">
                  <c:v>201067098.76789999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2B-4C4A-A166-1F660F95CC61}"/>
            </c:ext>
          </c:extLst>
        </c:ser>
        <c:ser>
          <c:idx val="4"/>
          <c:order val="4"/>
          <c:tx>
            <c:strRef>
              <c:f>'2nd Procedure'!$A$6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9.548500806014995E-17"/>
                  <c:y val="5.563939924176059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2B-4C4A-A166-1F660F95C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Procedure'!$C$6</c:f>
              <c:numCache>
                <c:formatCode>_-* #,##0_-;\-* #,##0_-;_-* "-"??_-;_-@_-</c:formatCode>
                <c:ptCount val="1"/>
                <c:pt idx="0">
                  <c:v>70412910.247799993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2B-4C4A-A166-1F660F95CC61}"/>
            </c:ext>
          </c:extLst>
        </c:ser>
        <c:ser>
          <c:idx val="5"/>
          <c:order val="5"/>
          <c:tx>
            <c:strRef>
              <c:f>'2nd Procedure'!$A$7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9.18999708369787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02B-4C4A-A166-1F660F95C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Procedure'!$C$7</c:f>
              <c:numCache>
                <c:formatCode>_-* #,##0_-;\-* #,##0_-;_-* "-"??_-;_-@_-</c:formatCode>
                <c:ptCount val="1"/>
                <c:pt idx="0">
                  <c:v>782797346.82410002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2B-4C4A-A166-1F660F95CC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73844720"/>
        <c:axId val="273843760"/>
      </c:barChart>
      <c:catAx>
        <c:axId val="27384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43760"/>
        <c:crosses val="autoZero"/>
        <c:auto val="1"/>
        <c:lblAlgn val="ctr"/>
        <c:lblOffset val="100"/>
        <c:noMultiLvlLbl val="0"/>
      </c:catAx>
      <c:valAx>
        <c:axId val="27384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4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Components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'2nd Procedure'!$A$20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Procedure'!$C$19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Procedure'!$C$20</c:f>
              <c:numCache>
                <c:formatCode>_-* #,##0_-;\-* #,##0_-;_-* "-"??_-;_-@_-</c:formatCode>
                <c:ptCount val="1"/>
                <c:pt idx="0">
                  <c:v>24635914.646499999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7-4273-8A89-028C23C5CB6E}"/>
            </c:ext>
          </c:extLst>
        </c:ser>
        <c:ser>
          <c:idx val="1"/>
          <c:order val="1"/>
          <c:tx>
            <c:strRef>
              <c:f>'2nd Procedure'!$A$21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Procedure'!$C$19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Procedure'!$C$21</c:f>
              <c:numCache>
                <c:formatCode>_-* #,##0_-;\-* #,##0_-;_-* "-"??_-;_-@_-</c:formatCode>
                <c:ptCount val="1"/>
                <c:pt idx="0">
                  <c:v>60977236.358400002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7-4273-8A89-028C23C5CB6E}"/>
            </c:ext>
          </c:extLst>
        </c:ser>
        <c:ser>
          <c:idx val="2"/>
          <c:order val="2"/>
          <c:tx>
            <c:strRef>
              <c:f>'2nd Procedure'!$A$22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Procedure'!$C$19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Procedure'!$C$22</c:f>
              <c:numCache>
                <c:formatCode>_-* #,##0_-;\-* #,##0_-;_-* "-"??_-;_-@_-</c:formatCode>
                <c:ptCount val="1"/>
                <c:pt idx="0">
                  <c:v>16058578.602399999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07-4273-8A89-028C23C5CB6E}"/>
            </c:ext>
          </c:extLst>
        </c:ser>
        <c:ser>
          <c:idx val="3"/>
          <c:order val="3"/>
          <c:tx>
            <c:strRef>
              <c:f>'2nd Procedure'!$A$23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Procedure'!$C$19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Procedure'!$C$23</c:f>
              <c:numCache>
                <c:formatCode>_-* #,##0_-;\-* #,##0_-;_-* "-"??_-;_-@_-</c:formatCode>
                <c:ptCount val="1"/>
                <c:pt idx="0">
                  <c:v>173637029.9215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07-4273-8A89-028C23C5CB6E}"/>
            </c:ext>
          </c:extLst>
        </c:ser>
        <c:ser>
          <c:idx val="4"/>
          <c:order val="4"/>
          <c:tx>
            <c:strRef>
              <c:f>'2nd Procedure'!$A$24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Procedure'!$C$19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Procedure'!$C$24</c:f>
              <c:numCache>
                <c:formatCode>_-* #,##0_-;\-* #,##0_-;_-* "-"??_-;_-@_-</c:formatCode>
                <c:ptCount val="1"/>
                <c:pt idx="0">
                  <c:v>74304272.907299995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7-4273-8A89-028C23C5CB6E}"/>
            </c:ext>
          </c:extLst>
        </c:ser>
        <c:ser>
          <c:idx val="5"/>
          <c:order val="5"/>
          <c:tx>
            <c:strRef>
              <c:f>'2nd Procedure'!$A$25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Procedure'!$C$19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Procedure'!$C$25</c:f>
              <c:numCache>
                <c:formatCode>_-* #,##0_-;\-* #,##0_-;_-* "-"??_-;_-@_-</c:formatCode>
                <c:ptCount val="1"/>
                <c:pt idx="0">
                  <c:v>580956278.07819998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07-4273-8A89-028C23C5CB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2721328"/>
        <c:axId val="652707888"/>
      </c:barChart>
      <c:catAx>
        <c:axId val="65272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07888"/>
        <c:crosses val="autoZero"/>
        <c:auto val="1"/>
        <c:lblAlgn val="ctr"/>
        <c:lblOffset val="100"/>
        <c:noMultiLvlLbl val="0"/>
      </c:catAx>
      <c:valAx>
        <c:axId val="6527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2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Clothing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'2nd Procedure'!$A$39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Procedure'!$C$38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Procedure'!$C$39</c:f>
              <c:numCache>
                <c:formatCode>_-* #,##0_-;\-* #,##0_-;_-* "-"??_-;_-@_-</c:formatCode>
                <c:ptCount val="1"/>
                <c:pt idx="0">
                  <c:v>20511741.306499999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2-4C8B-9335-7B6C1E1E3F47}"/>
            </c:ext>
          </c:extLst>
        </c:ser>
        <c:ser>
          <c:idx val="1"/>
          <c:order val="1"/>
          <c:tx>
            <c:strRef>
              <c:f>'2nd Procedure'!$A$40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Procedure'!$C$38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Procedure'!$C$40</c:f>
              <c:numCache>
                <c:formatCode>_-* #,##0_-;\-* #,##0_-;_-* "-"??_-;_-@_-</c:formatCode>
                <c:ptCount val="1"/>
                <c:pt idx="0">
                  <c:v>36211193.642499998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2-4C8B-9335-7B6C1E1E3F47}"/>
            </c:ext>
          </c:extLst>
        </c:ser>
        <c:ser>
          <c:idx val="2"/>
          <c:order val="2"/>
          <c:tx>
            <c:strRef>
              <c:f>'2nd Procedure'!$A$41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Procedure'!$C$38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Procedure'!$C$41</c:f>
              <c:numCache>
                <c:formatCode>_-* #,##0_-;\-* #,##0_-;_-* "-"??_-;_-@_-</c:formatCode>
                <c:ptCount val="1"/>
                <c:pt idx="0">
                  <c:v>9291473.8684999999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2-4C8B-9335-7B6C1E1E3F47}"/>
            </c:ext>
          </c:extLst>
        </c:ser>
        <c:ser>
          <c:idx val="3"/>
          <c:order val="3"/>
          <c:tx>
            <c:strRef>
              <c:f>'2nd Procedure'!$A$42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Procedure'!$C$38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Procedure'!$C$42</c:f>
              <c:numCache>
                <c:formatCode>_-* #,##0_-;\-* #,##0_-;_-* "-"??_-;_-@_-</c:formatCode>
                <c:ptCount val="1"/>
                <c:pt idx="0">
                  <c:v>105313997.6249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E2-4C8B-9335-7B6C1E1E3F47}"/>
            </c:ext>
          </c:extLst>
        </c:ser>
        <c:ser>
          <c:idx val="4"/>
          <c:order val="4"/>
          <c:tx>
            <c:strRef>
              <c:f>'2nd Procedure'!$A$43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Procedure'!$C$38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Procedure'!$C$43</c:f>
              <c:numCache>
                <c:formatCode>_-* #,##0_-;\-* #,##0_-;_-* "-"??_-;_-@_-</c:formatCode>
                <c:ptCount val="1"/>
                <c:pt idx="0">
                  <c:v>35958713.362899996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E2-4C8B-9335-7B6C1E1E3F47}"/>
            </c:ext>
          </c:extLst>
        </c:ser>
        <c:ser>
          <c:idx val="5"/>
          <c:order val="5"/>
          <c:tx>
            <c:strRef>
              <c:f>'2nd Procedure'!$A$44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Procedure'!$C$38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Procedure'!$C$44</c:f>
              <c:numCache>
                <c:formatCode>_-* #,##0_-;\-* #,##0_-;_-* "-"??_-;_-@_-</c:formatCode>
                <c:ptCount val="1"/>
                <c:pt idx="0">
                  <c:v>335181742.63429999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E2-4C8B-9335-7B6C1E1E3F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73808720"/>
        <c:axId val="273800080"/>
      </c:barChart>
      <c:catAx>
        <c:axId val="2738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00080"/>
        <c:crosses val="autoZero"/>
        <c:auto val="1"/>
        <c:lblAlgn val="ctr"/>
        <c:lblOffset val="100"/>
        <c:noMultiLvlLbl val="0"/>
      </c:catAx>
      <c:valAx>
        <c:axId val="2738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0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Accessories</a:t>
            </a:r>
            <a:endParaRPr lang="en-US" baseline="0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'2nd Procedure'!$A$57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Procedure'!$C$56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Procedure'!$C$57</c:f>
              <c:numCache>
                <c:formatCode>_-* #,##0_-;\-* #,##0_-;_-* "-"??_-;_-@_-</c:formatCode>
                <c:ptCount val="1"/>
                <c:pt idx="0">
                  <c:v>15169590.3028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1-4AAD-AF8F-4B16AD849043}"/>
            </c:ext>
          </c:extLst>
        </c:ser>
        <c:ser>
          <c:idx val="1"/>
          <c:order val="1"/>
          <c:tx>
            <c:strRef>
              <c:f>'2nd Procedure'!$A$58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Procedure'!$C$56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Procedure'!$C$58</c:f>
              <c:numCache>
                <c:formatCode>_-* #,##0_-;\-* #,##0_-;_-* "-"??_-;_-@_-</c:formatCode>
                <c:ptCount val="1"/>
                <c:pt idx="0">
                  <c:v>20225076.154199999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1-4AAD-AF8F-4B16AD849043}"/>
            </c:ext>
          </c:extLst>
        </c:ser>
        <c:ser>
          <c:idx val="2"/>
          <c:order val="2"/>
          <c:tx>
            <c:strRef>
              <c:f>'2nd Procedure'!$A$59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Procedure'!$C$56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Procedure'!$C$59</c:f>
              <c:numCache>
                <c:formatCode>_-* #,##0_-;\-* #,##0_-;_-* "-"??_-;_-@_-</c:formatCode>
                <c:ptCount val="1"/>
                <c:pt idx="0">
                  <c:v>11791714.0463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1-4AAD-AF8F-4B16AD849043}"/>
            </c:ext>
          </c:extLst>
        </c:ser>
        <c:ser>
          <c:idx val="3"/>
          <c:order val="3"/>
          <c:tx>
            <c:strRef>
              <c:f>'2nd Procedure'!$A$60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Procedure'!$C$56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Procedure'!$C$60</c:f>
              <c:numCache>
                <c:formatCode>_-* #,##0_-;\-* #,##0_-;_-* "-"??_-;_-@_-</c:formatCode>
                <c:ptCount val="1"/>
                <c:pt idx="0">
                  <c:v>46951336.928300001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61-4AAD-AF8F-4B16AD849043}"/>
            </c:ext>
          </c:extLst>
        </c:ser>
        <c:ser>
          <c:idx val="4"/>
          <c:order val="4"/>
          <c:tx>
            <c:strRef>
              <c:f>'2nd Procedure'!$A$61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Procedure'!$C$56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Procedure'!$C$61</c:f>
              <c:numCache>
                <c:formatCode>_-* #,##0_-;\-* #,##0_-;_-* "-"??_-;_-@_-</c:formatCode>
                <c:ptCount val="1"/>
                <c:pt idx="0">
                  <c:v>17482391.350499999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61-4AAD-AF8F-4B16AD849043}"/>
            </c:ext>
          </c:extLst>
        </c:ser>
        <c:ser>
          <c:idx val="5"/>
          <c:order val="5"/>
          <c:tx>
            <c:strRef>
              <c:f>'2nd Procedure'!$A$62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'2nd Procedure'!$C$56</c:f>
              <c:strCache>
                <c:ptCount val="1"/>
                <c:pt idx="0">
                  <c:v>TotalSales</c:v>
                </c:pt>
              </c:strCache>
            </c:strRef>
          </c:cat>
          <c:val>
            <c:numRef>
              <c:f>'2nd Procedure'!$C$62</c:f>
              <c:numCache>
                <c:formatCode>_-* #,##0_-;\-* #,##0_-;_-* "-"??_-;_-@_-</c:formatCode>
                <c:ptCount val="1"/>
                <c:pt idx="0">
                  <c:v>152466433.94749999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61-4AAD-AF8F-4B16AD8490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50118768"/>
        <c:axId val="750107248"/>
      </c:barChart>
      <c:catAx>
        <c:axId val="7501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07248"/>
        <c:crosses val="autoZero"/>
        <c:auto val="1"/>
        <c:lblAlgn val="ctr"/>
        <c:lblOffset val="100"/>
        <c:noMultiLvlLbl val="0"/>
      </c:catAx>
      <c:valAx>
        <c:axId val="7501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1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'3nd Procedure'!$C$1</c:f>
              <c:strCache>
                <c:ptCount val="1"/>
                <c:pt idx="0">
                  <c:v>TotalSales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30E-48AE-B855-514F4A7433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'3nd Procedure'!$A$2:$B$19</c15:sqref>
                  </c15:fullRef>
                  <c15:levelRef>
                    <c15:sqref>'3nd Procedure'!$A$2:$A$19</c15:sqref>
                  </c15:levelRef>
                </c:ext>
              </c:extLst>
              <c:f>'3nd Procedure'!$A$2:$A$19</c:f>
              <c:strCache>
                <c:ptCount val="18"/>
                <c:pt idx="0">
                  <c:v>Linda Mitchell</c:v>
                </c:pt>
                <c:pt idx="1">
                  <c:v>Jae Pak</c:v>
                </c:pt>
                <c:pt idx="2">
                  <c:v>Jillian Carson</c:v>
                </c:pt>
                <c:pt idx="3">
                  <c:v>Michael Blythe</c:v>
                </c:pt>
                <c:pt idx="4">
                  <c:v>Shu Ito</c:v>
                </c:pt>
                <c:pt idx="5">
                  <c:v>José Saraiva</c:v>
                </c:pt>
                <c:pt idx="6">
                  <c:v>Tsvi Reiter</c:v>
                </c:pt>
                <c:pt idx="7">
                  <c:v>Ranjit Varkey Chudukatil</c:v>
                </c:pt>
                <c:pt idx="8">
                  <c:v>Average Sales</c:v>
                </c:pt>
                <c:pt idx="9">
                  <c:v>David Campbell</c:v>
                </c:pt>
                <c:pt idx="10">
                  <c:v>Pamela Ansman-Wolfe</c:v>
                </c:pt>
                <c:pt idx="11">
                  <c:v>Garrett Vargas</c:v>
                </c:pt>
                <c:pt idx="12">
                  <c:v>Rachel Valdez</c:v>
                </c:pt>
                <c:pt idx="13">
                  <c:v>Tete Mensa-Annan</c:v>
                </c:pt>
                <c:pt idx="14">
                  <c:v>Stephen Jiang</c:v>
                </c:pt>
                <c:pt idx="15">
                  <c:v>Lynn Tsoflias</c:v>
                </c:pt>
                <c:pt idx="16">
                  <c:v>Amy Alberts</c:v>
                </c:pt>
                <c:pt idx="17">
                  <c:v>Syed Abbas</c:v>
                </c:pt>
              </c:strCache>
            </c:strRef>
          </c:cat>
          <c:val>
            <c:numRef>
              <c:f>'3nd Procedure'!$C$2:$C$19</c:f>
              <c:numCache>
                <c:formatCode>_-* #,##0_-;\-* #,##0_-;_-* "-"??_-;_-@_-</c:formatCode>
                <c:ptCount val="18"/>
                <c:pt idx="0">
                  <c:v>381125560.61150002</c:v>
                </c:pt>
                <c:pt idx="1">
                  <c:v>366037331.28420001</c:v>
                </c:pt>
                <c:pt idx="2">
                  <c:v>347868654.94950002</c:v>
                </c:pt>
                <c:pt idx="3">
                  <c:v>327853784.27600002</c:v>
                </c:pt>
                <c:pt idx="4">
                  <c:v>225255391.37439999</c:v>
                </c:pt>
                <c:pt idx="5">
                  <c:v>206045854.03839999</c:v>
                </c:pt>
                <c:pt idx="6">
                  <c:v>201612866.25560001</c:v>
                </c:pt>
                <c:pt idx="7">
                  <c:v>190218560.7085</c:v>
                </c:pt>
                <c:pt idx="8">
                  <c:v>168324946.32971764</c:v>
                </c:pt>
                <c:pt idx="9">
                  <c:v>123090545.2713</c:v>
                </c:pt>
                <c:pt idx="10">
                  <c:v>114511107.84209999</c:v>
                </c:pt>
                <c:pt idx="11">
                  <c:v>102841549.28219999</c:v>
                </c:pt>
                <c:pt idx="12">
                  <c:v>78261325.614999995</c:v>
                </c:pt>
                <c:pt idx="13">
                  <c:v>71701333.142700002</c:v>
                </c:pt>
                <c:pt idx="14">
                  <c:v>45434065.9683</c:v>
                </c:pt>
                <c:pt idx="15">
                  <c:v>44494565.246100001</c:v>
                </c:pt>
                <c:pt idx="16">
                  <c:v>27128771.888500001</c:v>
                </c:pt>
                <c:pt idx="17">
                  <c:v>8042819.8509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E-48AE-B855-514F4A7433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73849520"/>
        <c:axId val="273839440"/>
      </c:barChart>
      <c:catAx>
        <c:axId val="27384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39440"/>
        <c:crosses val="autoZero"/>
        <c:auto val="1"/>
        <c:lblAlgn val="ctr"/>
        <c:lblOffset val="100"/>
        <c:noMultiLvlLbl val="0"/>
      </c:catAx>
      <c:valAx>
        <c:axId val="27383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4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NoOfSales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'3nd Procedure'!$C$24</c:f>
              <c:strCache>
                <c:ptCount val="1"/>
                <c:pt idx="0">
                  <c:v>TotalOrders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59-44E0-B0D8-18DD07CE06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'3nd Procedure'!$A$25:$B$42</c15:sqref>
                  </c15:fullRef>
                  <c15:levelRef>
                    <c15:sqref>'3nd Procedure'!$A$25:$A$42</c15:sqref>
                  </c15:levelRef>
                </c:ext>
              </c:extLst>
              <c:f>'3nd Procedure'!$A$25:$A$42</c:f>
              <c:strCache>
                <c:ptCount val="18"/>
                <c:pt idx="0">
                  <c:v>Jillian Carson</c:v>
                </c:pt>
                <c:pt idx="1">
                  <c:v>Michael Blythe</c:v>
                </c:pt>
                <c:pt idx="2">
                  <c:v>Tsvi Reiter</c:v>
                </c:pt>
                <c:pt idx="3">
                  <c:v>Linda Mitchell</c:v>
                </c:pt>
                <c:pt idx="4">
                  <c:v>Jae Pak</c:v>
                </c:pt>
                <c:pt idx="5">
                  <c:v>José Saraiva</c:v>
                </c:pt>
                <c:pt idx="6">
                  <c:v>Shu Ito</c:v>
                </c:pt>
                <c:pt idx="7">
                  <c:v>Garrett Vargas</c:v>
                </c:pt>
                <c:pt idx="8">
                  <c:v>Average Orders</c:v>
                </c:pt>
                <c:pt idx="9">
                  <c:v>David Campbell</c:v>
                </c:pt>
                <c:pt idx="10">
                  <c:v>Ranjit Varkey Chudukatil</c:v>
                </c:pt>
                <c:pt idx="11">
                  <c:v>Tete Mensa-Annan</c:v>
                </c:pt>
                <c:pt idx="12">
                  <c:v>Rachel Valdez</c:v>
                </c:pt>
                <c:pt idx="13">
                  <c:v>Lynn Tsoflias</c:v>
                </c:pt>
                <c:pt idx="14">
                  <c:v>Pamela Ansman-Wolfe</c:v>
                </c:pt>
                <c:pt idx="15">
                  <c:v>Stephen Jiang</c:v>
                </c:pt>
                <c:pt idx="16">
                  <c:v>Amy Alberts</c:v>
                </c:pt>
                <c:pt idx="17">
                  <c:v>Syed Abbas</c:v>
                </c:pt>
              </c:strCache>
            </c:strRef>
          </c:cat>
          <c:val>
            <c:numRef>
              <c:f>'3nd Procedure'!$C$25:$C$42</c:f>
              <c:numCache>
                <c:formatCode>General</c:formatCode>
                <c:ptCount val="18"/>
                <c:pt idx="0">
                  <c:v>473</c:v>
                </c:pt>
                <c:pt idx="1">
                  <c:v>450</c:v>
                </c:pt>
                <c:pt idx="2">
                  <c:v>429</c:v>
                </c:pt>
                <c:pt idx="3">
                  <c:v>418</c:v>
                </c:pt>
                <c:pt idx="4">
                  <c:v>348</c:v>
                </c:pt>
                <c:pt idx="5">
                  <c:v>271</c:v>
                </c:pt>
                <c:pt idx="6">
                  <c:v>242</c:v>
                </c:pt>
                <c:pt idx="7">
                  <c:v>234</c:v>
                </c:pt>
                <c:pt idx="8" formatCode="_-* #,##0_-;\-* #,##0_-;_-* &quot;-&quot;??_-;_-@_-">
                  <c:v>223.88235294117646</c:v>
                </c:pt>
                <c:pt idx="9">
                  <c:v>189</c:v>
                </c:pt>
                <c:pt idx="10">
                  <c:v>175</c:v>
                </c:pt>
                <c:pt idx="11">
                  <c:v>140</c:v>
                </c:pt>
                <c:pt idx="12">
                  <c:v>130</c:v>
                </c:pt>
                <c:pt idx="13">
                  <c:v>109</c:v>
                </c:pt>
                <c:pt idx="14">
                  <c:v>95</c:v>
                </c:pt>
                <c:pt idx="15">
                  <c:v>48</c:v>
                </c:pt>
                <c:pt idx="16">
                  <c:v>39</c:v>
                </c:pt>
                <c:pt idx="1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9-44E0-B0D8-18DD07CE06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3142560"/>
        <c:axId val="103141120"/>
      </c:barChart>
      <c:catAx>
        <c:axId val="10314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1120"/>
        <c:crosses val="autoZero"/>
        <c:auto val="1"/>
        <c:lblAlgn val="ctr"/>
        <c:lblOffset val="100"/>
        <c:noMultiLvlLbl val="0"/>
      </c:catAx>
      <c:valAx>
        <c:axId val="10314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'4nd Procedure'!$C$3</c:f>
              <c:strCache>
                <c:ptCount val="1"/>
                <c:pt idx="0">
                  <c:v>TotalSales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8C-4D7C-B917-1B236AFAE4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8C-4D7C-B917-1B236AFAE4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8C-4D7C-B917-1B236AFAE4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8C-4D7C-B917-1B236AFAE43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'4nd Procedure'!$B$4:$B$7</c:f>
              <c:strCache>
                <c:ptCount val="4"/>
                <c:pt idx="0">
                  <c:v>Bikes</c:v>
                </c:pt>
                <c:pt idx="1">
                  <c:v>Components</c:v>
                </c:pt>
                <c:pt idx="2">
                  <c:v>Clothing</c:v>
                </c:pt>
                <c:pt idx="3">
                  <c:v>Accessories</c:v>
                </c:pt>
              </c:strCache>
            </c:strRef>
          </c:cat>
          <c:val>
            <c:numRef>
              <c:f>'4nd Procedure'!$C$4:$C$7</c:f>
              <c:numCache>
                <c:formatCode>_-* #,##0_-;\-* #,##0_-;_-* "-"??_-;_-@_-</c:formatCode>
                <c:ptCount val="4"/>
                <c:pt idx="0">
                  <c:v>332881940.93559998</c:v>
                </c:pt>
                <c:pt idx="1">
                  <c:v>345583475.70469999</c:v>
                </c:pt>
                <c:pt idx="2">
                  <c:v>174762271.99649999</c:v>
                </c:pt>
                <c:pt idx="3">
                  <c:v>79730355.272100002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2-4FFC-A054-A7704A94A3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'4nd Procedure'!$D$27</c:f>
              <c:strCache>
                <c:ptCount val="1"/>
                <c:pt idx="0">
                  <c:v>TotalSales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F6-4030-987F-23811A26A8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F6-4030-987F-23811A26A8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F6-4030-987F-23811A26A8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F6-4030-987F-23811A26A8C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'4nd Procedure'!$C$28:$C$31</c:f>
              <c:strCache>
                <c:ptCount val="4"/>
                <c:pt idx="0">
                  <c:v>Bikes</c:v>
                </c:pt>
                <c:pt idx="1">
                  <c:v>Components</c:v>
                </c:pt>
                <c:pt idx="2">
                  <c:v>Clothing</c:v>
                </c:pt>
                <c:pt idx="3">
                  <c:v>Accessories</c:v>
                </c:pt>
              </c:strCache>
            </c:strRef>
          </c:cat>
          <c:val>
            <c:numRef>
              <c:f>'4nd Procedure'!$D$28:$D$31</c:f>
              <c:numCache>
                <c:formatCode>_-* #,##0_-;\-* #,##0_-;_-* "-"??_-;_-@_-</c:formatCode>
                <c:ptCount val="4"/>
                <c:pt idx="0">
                  <c:v>343370846.22140002</c:v>
                </c:pt>
                <c:pt idx="1">
                  <c:v>294620442.80659997</c:v>
                </c:pt>
                <c:pt idx="2">
                  <c:v>164884951.20649999</c:v>
                </c:pt>
                <c:pt idx="3">
                  <c:v>84210981.804000005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8-49B7-A7C6-937F6C3248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'4nd Procedure'!$E$40</c:f>
              <c:strCache>
                <c:ptCount val="1"/>
                <c:pt idx="0">
                  <c:v>TotalSales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A9-44AB-BDED-26149DF7A7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A9-44AB-BDED-26149DF7A7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A9-44AB-BDED-26149DF7A7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A9-44AB-BDED-26149DF7A7C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'4nd Procedure'!$D$41:$D$44</c:f>
              <c:strCache>
                <c:ptCount val="4"/>
                <c:pt idx="0">
                  <c:v>Bikes</c:v>
                </c:pt>
                <c:pt idx="1">
                  <c:v>Components</c:v>
                </c:pt>
                <c:pt idx="2">
                  <c:v>Clothing</c:v>
                </c:pt>
                <c:pt idx="3">
                  <c:v>Accessories</c:v>
                </c:pt>
              </c:strCache>
            </c:strRef>
          </c:cat>
          <c:val>
            <c:numRef>
              <c:f>'4nd Procedure'!$E$41:$E$44</c:f>
              <c:numCache>
                <c:formatCode>_-* #,##0_-;\-* #,##0_-;_-* "-"??_-;_-@_-</c:formatCode>
                <c:ptCount val="4"/>
                <c:pt idx="0">
                  <c:v>232235239.5934</c:v>
                </c:pt>
                <c:pt idx="1">
                  <c:v>94358024.980100006</c:v>
                </c:pt>
                <c:pt idx="2">
                  <c:v>79488360.768800005</c:v>
                </c:pt>
                <c:pt idx="3">
                  <c:v>37209467.109700002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3-40E9-AC68-31B10B228C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'4nd Procedure'!$E$59</c:f>
              <c:strCache>
                <c:ptCount val="1"/>
                <c:pt idx="0">
                  <c:v>TotalSales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E72-4840-8B28-88B676BF9D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E72-4840-8B28-88B676BF9D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E72-4840-8B28-88B676BF9D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E72-4840-8B28-88B676BF9D6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'4nd Procedure'!$D$60:$D$63</c:f>
              <c:strCache>
                <c:ptCount val="4"/>
                <c:pt idx="0">
                  <c:v>Bikes</c:v>
                </c:pt>
                <c:pt idx="1">
                  <c:v>Components</c:v>
                </c:pt>
                <c:pt idx="2">
                  <c:v>Clothing</c:v>
                </c:pt>
                <c:pt idx="3">
                  <c:v>Accessories</c:v>
                </c:pt>
              </c:strCache>
            </c:strRef>
          </c:cat>
          <c:val>
            <c:numRef>
              <c:f>'4nd Procedure'!$E$60:$E$63</c:f>
              <c:numCache>
                <c:formatCode>_-* #,##0_-;\-* #,##0_-;_-* "-"??_-;_-@_-</c:formatCode>
                <c:ptCount val="4"/>
                <c:pt idx="0">
                  <c:v>281357381.60750002</c:v>
                </c:pt>
                <c:pt idx="1">
                  <c:v>196007367.02289999</c:v>
                </c:pt>
                <c:pt idx="2">
                  <c:v>123333278.46780001</c:v>
                </c:pt>
                <c:pt idx="3">
                  <c:v>62935738.543799996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7-4F78-AE59-4FF519071EE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Most Ordered/Month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Most Ordered/Month</a:t>
          </a:r>
        </a:p>
      </cx:txPr>
    </cx:title>
    <cx:plotArea>
      <cx:plotAreaRegion>
        <cx:series layoutId="funnel" uniqueId="{5DEFCE10-87A2-4492-8498-305E96176C70}">
          <cx:tx>
            <cx:txData>
              <cx:f>_xlchart.v2.4</cx:f>
              <cx:v>AvgOrdersPerMonth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1">
        <cx:catScaling gapWidth="0.5"/>
        <cx:tickLabels/>
      </cx:axis>
    </cx:plotArea>
  </cx:chart>
  <cx:spPr>
    <a:ln>
      <a:solidFill>
        <a:schemeClr val="bg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1255395</xdr:colOff>
      <xdr:row>1</xdr:row>
      <xdr:rowOff>181927</xdr:rowOff>
    </xdr:from>
    <xdr:to>
      <xdr:col>12</xdr:col>
      <xdr:colOff>561975</xdr:colOff>
      <xdr:row>16</xdr:row>
      <xdr:rowOff>67627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3DB89A-80E2-3033-21C3-0D2024A33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</xdr:colOff>
      <xdr:row>16</xdr:row>
      <xdr:rowOff>23812</xdr:rowOff>
    </xdr:from>
    <xdr:to>
      <xdr:col>5</xdr:col>
      <xdr:colOff>1348740</xdr:colOff>
      <xdr:row>30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761D4D-481B-C869-1BD8-E773584FA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0</xdr:row>
      <xdr:rowOff>128587</xdr:rowOff>
    </xdr:from>
    <xdr:to>
      <xdr:col>15</xdr:col>
      <xdr:colOff>495300</xdr:colOff>
      <xdr:row>15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EF930F-3985-3361-B9CB-BE45031E7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17</xdr:row>
      <xdr:rowOff>42862</xdr:rowOff>
    </xdr:from>
    <xdr:to>
      <xdr:col>15</xdr:col>
      <xdr:colOff>581024</xdr:colOff>
      <xdr:row>31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C54E92-9549-4633-4EF1-C6EA1CD66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</xdr:colOff>
      <xdr:row>33</xdr:row>
      <xdr:rowOff>80962</xdr:rowOff>
    </xdr:from>
    <xdr:to>
      <xdr:col>15</xdr:col>
      <xdr:colOff>438150</xdr:colOff>
      <xdr:row>47</xdr:row>
      <xdr:rowOff>157162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832515-6D49-8DB1-4F26-973A39040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604837</xdr:colOff>
      <xdr:row>50</xdr:row>
      <xdr:rowOff>14287</xdr:rowOff>
    </xdr:from>
    <xdr:to>
      <xdr:col>15</xdr:col>
      <xdr:colOff>300037</xdr:colOff>
      <xdr:row>64</xdr:row>
      <xdr:rowOff>90487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31752D6-BC34-521C-C3F8-4B7CAEB5B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0</xdr:row>
      <xdr:rowOff>138111</xdr:rowOff>
    </xdr:from>
    <xdr:to>
      <xdr:col>18</xdr:col>
      <xdr:colOff>457200</xdr:colOff>
      <xdr:row>23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5F02C-6F1D-5CF0-0C91-EA032F7B0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104775</xdr:colOff>
      <xdr:row>24</xdr:row>
      <xdr:rowOff>138111</xdr:rowOff>
    </xdr:from>
    <xdr:to>
      <xdr:col>18</xdr:col>
      <xdr:colOff>514350</xdr:colOff>
      <xdr:row>48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21F4AC-51F0-067B-7489-E2748487E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0</xdr:row>
      <xdr:rowOff>185736</xdr:rowOff>
    </xdr:from>
    <xdr:to>
      <xdr:col>19</xdr:col>
      <xdr:colOff>171450</xdr:colOff>
      <xdr:row>17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138CD-CE47-6032-BFC5-C05D418E1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309561</xdr:colOff>
      <xdr:row>19</xdr:row>
      <xdr:rowOff>80961</xdr:rowOff>
    </xdr:from>
    <xdr:to>
      <xdr:col>19</xdr:col>
      <xdr:colOff>114300</xdr:colOff>
      <xdr:row>35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57ECBB-18CB-CB3C-98EF-1CA5FEDC3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295275</xdr:colOff>
      <xdr:row>36</xdr:row>
      <xdr:rowOff>128587</xdr:rowOff>
    </xdr:from>
    <xdr:to>
      <xdr:col>19</xdr:col>
      <xdr:colOff>95250</xdr:colOff>
      <xdr:row>53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9529C9-818D-E7DE-E227-3826CD643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195262</xdr:colOff>
      <xdr:row>55</xdr:row>
      <xdr:rowOff>42862</xdr:rowOff>
    </xdr:from>
    <xdr:to>
      <xdr:col>19</xdr:col>
      <xdr:colOff>171450</xdr:colOff>
      <xdr:row>72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57467E-739B-6212-124F-1866B7BB2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5</xdr:row>
      <xdr:rowOff>34290</xdr:rowOff>
    </xdr:from>
    <xdr:to>
      <xdr:col>14</xdr:col>
      <xdr:colOff>68580</xdr:colOff>
      <xdr:row>21</xdr:row>
      <xdr:rowOff>175260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1A1BCCE-E360-4BCA-CB13-83CC596137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52360" y="948690"/>
              <a:ext cx="4671060" cy="3067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69C0-9E8D-4B3B-BE1C-EF3230923435}">
  <dimension ref="A1:F15"/>
  <sheetViews>
    <sheetView topLeftCell="A16" workbookViewId="0">
      <selection activeCell="I21" sqref="I21"/>
    </sheetView>
  </sheetViews>
  <sheetFormatPr defaultRowHeight="14.4" x14ac:dyDescent="0.3"/>
  <cols>
    <col min="1" max="1" width="17.88671875" bestFit="1" customWidth="1"/>
    <col min="2" max="2" width="12.33203125" bestFit="1" customWidth="1"/>
    <col min="3" max="3" width="19" bestFit="1" customWidth="1"/>
    <col min="4" max="5" width="16.44140625" bestFit="1" customWidth="1"/>
    <col min="6" max="6" width="23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</v>
      </c>
      <c r="B2" t="s">
        <v>4</v>
      </c>
      <c r="C2" s="5">
        <v>1189845408.3578999</v>
      </c>
      <c r="D2" s="1">
        <v>7936394.015931</v>
      </c>
      <c r="F2" s="3"/>
    </row>
    <row r="3" spans="1:6" x14ac:dyDescent="0.3">
      <c r="A3">
        <v>2</v>
      </c>
      <c r="B3" t="s">
        <v>5</v>
      </c>
      <c r="C3" s="5">
        <v>930569310.51429999</v>
      </c>
      <c r="D3" s="1">
        <v>490233.18313000002</v>
      </c>
    </row>
    <row r="4" spans="1:6" x14ac:dyDescent="0.3">
      <c r="A4">
        <v>3</v>
      </c>
      <c r="B4" t="s">
        <v>6</v>
      </c>
      <c r="C4" s="5">
        <v>542468862.43959999</v>
      </c>
      <c r="D4" s="1">
        <v>308882.16710100003</v>
      </c>
      <c r="F4" s="1"/>
    </row>
    <row r="5" spans="1:6" x14ac:dyDescent="0.3">
      <c r="A5">
        <v>4</v>
      </c>
      <c r="B5" t="s">
        <v>7</v>
      </c>
      <c r="C5" s="5">
        <v>264086542.72960001</v>
      </c>
      <c r="D5" s="1">
        <v>636394.26022599998</v>
      </c>
      <c r="F5" s="1"/>
    </row>
    <row r="6" spans="1:6" x14ac:dyDescent="0.3">
      <c r="F6" s="1"/>
    </row>
    <row r="7" spans="1:6" x14ac:dyDescent="0.3">
      <c r="F7" s="1"/>
    </row>
    <row r="9" spans="1:6" x14ac:dyDescent="0.3">
      <c r="E9" s="1"/>
    </row>
    <row r="10" spans="1:6" x14ac:dyDescent="0.3">
      <c r="E10" s="1"/>
    </row>
    <row r="11" spans="1:6" x14ac:dyDescent="0.3">
      <c r="A11" t="s">
        <v>0</v>
      </c>
      <c r="B11" t="s">
        <v>1</v>
      </c>
      <c r="C11" t="s">
        <v>3</v>
      </c>
      <c r="E11" s="1"/>
    </row>
    <row r="12" spans="1:6" x14ac:dyDescent="0.3">
      <c r="A12">
        <v>1</v>
      </c>
      <c r="B12" t="s">
        <v>4</v>
      </c>
      <c r="C12" s="1">
        <v>7936394.015931</v>
      </c>
      <c r="D12" s="1"/>
      <c r="E12" s="1"/>
    </row>
    <row r="13" spans="1:6" x14ac:dyDescent="0.3">
      <c r="A13">
        <v>2</v>
      </c>
      <c r="B13" t="s">
        <v>5</v>
      </c>
      <c r="C13" s="1">
        <v>490233.18313000002</v>
      </c>
      <c r="D13" s="1"/>
      <c r="E13" s="1"/>
    </row>
    <row r="14" spans="1:6" x14ac:dyDescent="0.3">
      <c r="A14">
        <v>3</v>
      </c>
      <c r="B14" t="s">
        <v>6</v>
      </c>
      <c r="C14" s="1">
        <v>308882.16710100003</v>
      </c>
      <c r="D14" s="1"/>
      <c r="E14" s="1"/>
    </row>
    <row r="15" spans="1:6" x14ac:dyDescent="0.3">
      <c r="A15">
        <v>4</v>
      </c>
      <c r="B15" t="s">
        <v>7</v>
      </c>
      <c r="C15" s="1">
        <v>636394.26022599998</v>
      </c>
      <c r="D15" s="1"/>
      <c r="E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1CCA-F79D-493C-9713-C2D273CE922B}">
  <dimension ref="A1:F62"/>
  <sheetViews>
    <sheetView topLeftCell="A34" workbookViewId="0">
      <selection activeCell="R14" sqref="R14"/>
    </sheetView>
  </sheetViews>
  <sheetFormatPr defaultRowHeight="14.4" x14ac:dyDescent="0.3"/>
  <cols>
    <col min="1" max="1" width="15.44140625" bestFit="1" customWidth="1"/>
    <col min="2" max="2" width="17.88671875" bestFit="1" customWidth="1"/>
    <col min="3" max="3" width="15.33203125" bestFit="1" customWidth="1"/>
    <col min="4" max="4" width="11.44140625" bestFit="1" customWidth="1"/>
    <col min="5" max="5" width="12" bestFit="1" customWidth="1"/>
    <col min="6" max="6" width="14.88671875" bestFit="1" customWidth="1"/>
  </cols>
  <sheetData>
    <row r="1" spans="1:5" x14ac:dyDescent="0.3">
      <c r="A1" t="s">
        <v>14</v>
      </c>
      <c r="B1" t="s">
        <v>15</v>
      </c>
      <c r="C1" t="s">
        <v>2</v>
      </c>
    </row>
    <row r="2" spans="1:5" x14ac:dyDescent="0.3">
      <c r="A2" t="s">
        <v>8</v>
      </c>
      <c r="B2" t="s">
        <v>4</v>
      </c>
      <c r="C2" s="5">
        <v>32340979.389699999</v>
      </c>
      <c r="D2" s="5"/>
      <c r="E2" s="1"/>
    </row>
    <row r="3" spans="1:5" x14ac:dyDescent="0.3">
      <c r="A3" t="s">
        <v>9</v>
      </c>
      <c r="B3" t="s">
        <v>4</v>
      </c>
      <c r="C3" s="5">
        <v>69794915.486100003</v>
      </c>
      <c r="D3" s="5"/>
      <c r="E3" s="1"/>
    </row>
    <row r="4" spans="1:5" x14ac:dyDescent="0.3">
      <c r="A4" t="s">
        <v>10</v>
      </c>
      <c r="B4" t="s">
        <v>4</v>
      </c>
      <c r="C4" s="5">
        <v>33432157.642299999</v>
      </c>
      <c r="D4" s="5"/>
      <c r="E4" s="1"/>
    </row>
    <row r="5" spans="1:5" x14ac:dyDescent="0.3">
      <c r="A5" t="s">
        <v>11</v>
      </c>
      <c r="B5" t="s">
        <v>4</v>
      </c>
      <c r="C5" s="5">
        <v>201067098.76789999</v>
      </c>
      <c r="D5" s="5"/>
      <c r="E5" s="1"/>
    </row>
    <row r="6" spans="1:5" x14ac:dyDescent="0.3">
      <c r="A6" t="s">
        <v>12</v>
      </c>
      <c r="B6" t="s">
        <v>4</v>
      </c>
      <c r="C6" s="5">
        <v>70412910.247799993</v>
      </c>
      <c r="D6" s="5"/>
      <c r="E6" s="1"/>
    </row>
    <row r="7" spans="1:5" x14ac:dyDescent="0.3">
      <c r="A7" t="s">
        <v>13</v>
      </c>
      <c r="B7" t="s">
        <v>4</v>
      </c>
      <c r="C7" s="5">
        <v>782797346.82410002</v>
      </c>
      <c r="D7" s="5"/>
      <c r="E7" s="1"/>
    </row>
    <row r="19" spans="1:6" x14ac:dyDescent="0.3">
      <c r="A19" t="s">
        <v>14</v>
      </c>
      <c r="B19" t="s">
        <v>15</v>
      </c>
      <c r="C19" t="s">
        <v>2</v>
      </c>
    </row>
    <row r="20" spans="1:6" x14ac:dyDescent="0.3">
      <c r="A20" t="s">
        <v>8</v>
      </c>
      <c r="B20" t="s">
        <v>5</v>
      </c>
      <c r="C20" s="5">
        <v>24635914.646499999</v>
      </c>
      <c r="F20" s="1"/>
    </row>
    <row r="21" spans="1:6" x14ac:dyDescent="0.3">
      <c r="A21" t="s">
        <v>9</v>
      </c>
      <c r="B21" t="s">
        <v>5</v>
      </c>
      <c r="C21" s="5">
        <v>60977236.358400002</v>
      </c>
      <c r="F21" s="1"/>
    </row>
    <row r="22" spans="1:6" x14ac:dyDescent="0.3">
      <c r="A22" t="s">
        <v>10</v>
      </c>
      <c r="B22" t="s">
        <v>5</v>
      </c>
      <c r="C22" s="5">
        <v>16058578.602399999</v>
      </c>
      <c r="F22" s="1"/>
    </row>
    <row r="23" spans="1:6" x14ac:dyDescent="0.3">
      <c r="A23" t="s">
        <v>11</v>
      </c>
      <c r="B23" t="s">
        <v>5</v>
      </c>
      <c r="C23" s="5">
        <v>173637029.9215</v>
      </c>
      <c r="F23" s="1"/>
    </row>
    <row r="24" spans="1:6" x14ac:dyDescent="0.3">
      <c r="A24" t="s">
        <v>12</v>
      </c>
      <c r="B24" t="s">
        <v>5</v>
      </c>
      <c r="C24" s="5">
        <v>74304272.907299995</v>
      </c>
      <c r="F24" s="1"/>
    </row>
    <row r="25" spans="1:6" x14ac:dyDescent="0.3">
      <c r="A25" t="s">
        <v>13</v>
      </c>
      <c r="B25" t="s">
        <v>5</v>
      </c>
      <c r="C25" s="5">
        <v>580956278.07819998</v>
      </c>
      <c r="F25" s="1"/>
    </row>
    <row r="38" spans="1:6" x14ac:dyDescent="0.3">
      <c r="A38" t="s">
        <v>14</v>
      </c>
      <c r="B38" t="s">
        <v>15</v>
      </c>
      <c r="C38" t="s">
        <v>2</v>
      </c>
    </row>
    <row r="39" spans="1:6" x14ac:dyDescent="0.3">
      <c r="A39" t="s">
        <v>8</v>
      </c>
      <c r="B39" t="s">
        <v>6</v>
      </c>
      <c r="C39" s="5">
        <v>20511741.306499999</v>
      </c>
      <c r="F39" s="1"/>
    </row>
    <row r="40" spans="1:6" x14ac:dyDescent="0.3">
      <c r="A40" t="s">
        <v>9</v>
      </c>
      <c r="B40" t="s">
        <v>6</v>
      </c>
      <c r="C40" s="5">
        <v>36211193.642499998</v>
      </c>
      <c r="F40" s="1"/>
    </row>
    <row r="41" spans="1:6" x14ac:dyDescent="0.3">
      <c r="A41" t="s">
        <v>10</v>
      </c>
      <c r="B41" t="s">
        <v>6</v>
      </c>
      <c r="C41" s="5">
        <v>9291473.8684999999</v>
      </c>
      <c r="F41" s="1"/>
    </row>
    <row r="42" spans="1:6" x14ac:dyDescent="0.3">
      <c r="A42" t="s">
        <v>11</v>
      </c>
      <c r="B42" t="s">
        <v>6</v>
      </c>
      <c r="C42" s="5">
        <v>105313997.6249</v>
      </c>
      <c r="F42" s="1"/>
    </row>
    <row r="43" spans="1:6" x14ac:dyDescent="0.3">
      <c r="A43" t="s">
        <v>12</v>
      </c>
      <c r="B43" t="s">
        <v>6</v>
      </c>
      <c r="C43" s="5">
        <v>35958713.362899996</v>
      </c>
      <c r="F43" s="1"/>
    </row>
    <row r="44" spans="1:6" x14ac:dyDescent="0.3">
      <c r="A44" t="s">
        <v>13</v>
      </c>
      <c r="B44" t="s">
        <v>6</v>
      </c>
      <c r="C44" s="5">
        <v>335181742.63429999</v>
      </c>
      <c r="F44" s="1"/>
    </row>
    <row r="56" spans="1:6" x14ac:dyDescent="0.3">
      <c r="A56" t="s">
        <v>14</v>
      </c>
      <c r="B56" t="s">
        <v>15</v>
      </c>
      <c r="C56" t="s">
        <v>2</v>
      </c>
    </row>
    <row r="57" spans="1:6" x14ac:dyDescent="0.3">
      <c r="A57" t="s">
        <v>8</v>
      </c>
      <c r="B57" t="s">
        <v>7</v>
      </c>
      <c r="C57" s="5">
        <v>15169590.3028</v>
      </c>
      <c r="F57" s="1"/>
    </row>
    <row r="58" spans="1:6" x14ac:dyDescent="0.3">
      <c r="A58" t="s">
        <v>9</v>
      </c>
      <c r="B58" t="s">
        <v>7</v>
      </c>
      <c r="C58" s="5">
        <v>20225076.154199999</v>
      </c>
      <c r="F58" s="1"/>
    </row>
    <row r="59" spans="1:6" x14ac:dyDescent="0.3">
      <c r="A59" t="s">
        <v>10</v>
      </c>
      <c r="B59" t="s">
        <v>7</v>
      </c>
      <c r="C59" s="5">
        <v>11791714.0463</v>
      </c>
      <c r="F59" s="1"/>
    </row>
    <row r="60" spans="1:6" x14ac:dyDescent="0.3">
      <c r="A60" t="s">
        <v>11</v>
      </c>
      <c r="B60" t="s">
        <v>7</v>
      </c>
      <c r="C60" s="5">
        <v>46951336.928300001</v>
      </c>
      <c r="F60" s="1"/>
    </row>
    <row r="61" spans="1:6" x14ac:dyDescent="0.3">
      <c r="A61" t="s">
        <v>12</v>
      </c>
      <c r="B61" t="s">
        <v>7</v>
      </c>
      <c r="C61" s="5">
        <v>17482391.350499999</v>
      </c>
      <c r="F61" s="1"/>
    </row>
    <row r="62" spans="1:6" x14ac:dyDescent="0.3">
      <c r="A62" t="s">
        <v>13</v>
      </c>
      <c r="B62" t="s">
        <v>7</v>
      </c>
      <c r="C62" s="5">
        <v>152466433.94749999</v>
      </c>
      <c r="F6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6868-C99A-45CE-9F77-7273E05FB1CA}">
  <dimension ref="A1:D42"/>
  <sheetViews>
    <sheetView topLeftCell="A34" workbookViewId="0">
      <selection activeCell="A2" sqref="A2:A19"/>
    </sheetView>
  </sheetViews>
  <sheetFormatPr defaultRowHeight="14.4" x14ac:dyDescent="0.3"/>
  <cols>
    <col min="1" max="1" width="23.109375" bestFit="1" customWidth="1"/>
    <col min="2" max="2" width="28.6640625" bestFit="1" customWidth="1"/>
    <col min="3" max="4" width="15.33203125" bestFit="1" customWidth="1"/>
  </cols>
  <sheetData>
    <row r="1" spans="1:4" x14ac:dyDescent="0.3">
      <c r="A1" t="s">
        <v>17</v>
      </c>
      <c r="B1" t="s">
        <v>18</v>
      </c>
      <c r="C1" t="s">
        <v>2</v>
      </c>
    </row>
    <row r="2" spans="1:4" x14ac:dyDescent="0.3">
      <c r="A2" t="s">
        <v>19</v>
      </c>
      <c r="B2" t="s">
        <v>20</v>
      </c>
      <c r="C2" s="5">
        <v>381125560.61150002</v>
      </c>
      <c r="D2" s="2"/>
    </row>
    <row r="3" spans="1:4" x14ac:dyDescent="0.3">
      <c r="A3" t="s">
        <v>21</v>
      </c>
      <c r="B3" t="s">
        <v>20</v>
      </c>
      <c r="C3" s="5">
        <v>366037331.28420001</v>
      </c>
      <c r="D3" s="2"/>
    </row>
    <row r="4" spans="1:4" x14ac:dyDescent="0.3">
      <c r="A4" t="s">
        <v>22</v>
      </c>
      <c r="B4" t="s">
        <v>20</v>
      </c>
      <c r="C4" s="5">
        <v>347868654.94950002</v>
      </c>
      <c r="D4" s="2"/>
    </row>
    <row r="5" spans="1:4" x14ac:dyDescent="0.3">
      <c r="A5" t="s">
        <v>23</v>
      </c>
      <c r="B5" t="s">
        <v>20</v>
      </c>
      <c r="C5" s="5">
        <v>327853784.27600002</v>
      </c>
      <c r="D5" s="2"/>
    </row>
    <row r="6" spans="1:4" x14ac:dyDescent="0.3">
      <c r="A6" t="s">
        <v>24</v>
      </c>
      <c r="B6" t="s">
        <v>20</v>
      </c>
      <c r="C6" s="5">
        <v>225255391.37439999</v>
      </c>
      <c r="D6" s="2"/>
    </row>
    <row r="7" spans="1:4" x14ac:dyDescent="0.3">
      <c r="A7" t="s">
        <v>25</v>
      </c>
      <c r="B7" t="s">
        <v>20</v>
      </c>
      <c r="C7" s="5">
        <v>206045854.03839999</v>
      </c>
      <c r="D7" s="2"/>
    </row>
    <row r="8" spans="1:4" x14ac:dyDescent="0.3">
      <c r="A8" t="s">
        <v>26</v>
      </c>
      <c r="B8" t="s">
        <v>20</v>
      </c>
      <c r="C8" s="5">
        <v>201612866.25560001</v>
      </c>
      <c r="D8" s="2"/>
    </row>
    <row r="9" spans="1:4" x14ac:dyDescent="0.3">
      <c r="A9" t="s">
        <v>27</v>
      </c>
      <c r="B9" t="s">
        <v>20</v>
      </c>
      <c r="C9" s="5">
        <v>190218560.7085</v>
      </c>
      <c r="D9" s="2"/>
    </row>
    <row r="10" spans="1:4" x14ac:dyDescent="0.3">
      <c r="A10" t="s">
        <v>40</v>
      </c>
      <c r="C10" s="6">
        <v>168324946.32971764</v>
      </c>
      <c r="D10" s="2"/>
    </row>
    <row r="11" spans="1:4" x14ac:dyDescent="0.3">
      <c r="A11" t="s">
        <v>28</v>
      </c>
      <c r="B11" t="s">
        <v>20</v>
      </c>
      <c r="C11" s="5">
        <v>123090545.2713</v>
      </c>
      <c r="D11" s="2"/>
    </row>
    <row r="12" spans="1:4" x14ac:dyDescent="0.3">
      <c r="A12" t="s">
        <v>29</v>
      </c>
      <c r="B12" t="s">
        <v>20</v>
      </c>
      <c r="C12" s="5">
        <v>114511107.84209999</v>
      </c>
      <c r="D12" s="2"/>
    </row>
    <row r="13" spans="1:4" x14ac:dyDescent="0.3">
      <c r="A13" t="s">
        <v>30</v>
      </c>
      <c r="B13" t="s">
        <v>20</v>
      </c>
      <c r="C13" s="5">
        <v>102841549.28219999</v>
      </c>
      <c r="D13" s="2"/>
    </row>
    <row r="14" spans="1:4" x14ac:dyDescent="0.3">
      <c r="A14" t="s">
        <v>31</v>
      </c>
      <c r="B14" t="s">
        <v>20</v>
      </c>
      <c r="C14" s="5">
        <v>78261325.614999995</v>
      </c>
      <c r="D14" s="2"/>
    </row>
    <row r="15" spans="1:4" x14ac:dyDescent="0.3">
      <c r="A15" t="s">
        <v>32</v>
      </c>
      <c r="B15" t="s">
        <v>20</v>
      </c>
      <c r="C15" s="5">
        <v>71701333.142700002</v>
      </c>
      <c r="D15" s="2"/>
    </row>
    <row r="16" spans="1:4" x14ac:dyDescent="0.3">
      <c r="A16" t="s">
        <v>33</v>
      </c>
      <c r="B16" t="s">
        <v>34</v>
      </c>
      <c r="C16" s="5">
        <v>45434065.9683</v>
      </c>
      <c r="D16" s="2"/>
    </row>
    <row r="17" spans="1:4" x14ac:dyDescent="0.3">
      <c r="A17" t="s">
        <v>35</v>
      </c>
      <c r="B17" t="s">
        <v>20</v>
      </c>
      <c r="C17" s="5">
        <v>44494565.246100001</v>
      </c>
      <c r="D17" s="2"/>
    </row>
    <row r="18" spans="1:4" x14ac:dyDescent="0.3">
      <c r="A18" t="s">
        <v>36</v>
      </c>
      <c r="B18" t="s">
        <v>37</v>
      </c>
      <c r="C18" s="5">
        <v>27128771.888500001</v>
      </c>
      <c r="D18" s="2"/>
    </row>
    <row r="19" spans="1:4" x14ac:dyDescent="0.3">
      <c r="A19" t="s">
        <v>38</v>
      </c>
      <c r="B19" t="s">
        <v>39</v>
      </c>
      <c r="C19" s="5">
        <v>8042819.8509</v>
      </c>
      <c r="D19" s="2"/>
    </row>
    <row r="24" spans="1:4" x14ac:dyDescent="0.3">
      <c r="A24" t="s">
        <v>17</v>
      </c>
      <c r="B24" t="s">
        <v>18</v>
      </c>
      <c r="C24" t="s">
        <v>16</v>
      </c>
    </row>
    <row r="25" spans="1:4" x14ac:dyDescent="0.3">
      <c r="A25" t="s">
        <v>22</v>
      </c>
      <c r="B25" t="s">
        <v>20</v>
      </c>
      <c r="C25">
        <v>473</v>
      </c>
    </row>
    <row r="26" spans="1:4" x14ac:dyDescent="0.3">
      <c r="A26" t="s">
        <v>23</v>
      </c>
      <c r="B26" t="s">
        <v>20</v>
      </c>
      <c r="C26">
        <v>450</v>
      </c>
    </row>
    <row r="27" spans="1:4" x14ac:dyDescent="0.3">
      <c r="A27" t="s">
        <v>26</v>
      </c>
      <c r="B27" t="s">
        <v>20</v>
      </c>
      <c r="C27">
        <v>429</v>
      </c>
    </row>
    <row r="28" spans="1:4" x14ac:dyDescent="0.3">
      <c r="A28" t="s">
        <v>19</v>
      </c>
      <c r="B28" t="s">
        <v>20</v>
      </c>
      <c r="C28">
        <v>418</v>
      </c>
    </row>
    <row r="29" spans="1:4" x14ac:dyDescent="0.3">
      <c r="A29" t="s">
        <v>21</v>
      </c>
      <c r="B29" t="s">
        <v>20</v>
      </c>
      <c r="C29">
        <v>348</v>
      </c>
    </row>
    <row r="30" spans="1:4" x14ac:dyDescent="0.3">
      <c r="A30" t="s">
        <v>25</v>
      </c>
      <c r="B30" t="s">
        <v>20</v>
      </c>
      <c r="C30">
        <v>271</v>
      </c>
    </row>
    <row r="31" spans="1:4" x14ac:dyDescent="0.3">
      <c r="A31" t="s">
        <v>24</v>
      </c>
      <c r="B31" t="s">
        <v>20</v>
      </c>
      <c r="C31">
        <v>242</v>
      </c>
    </row>
    <row r="32" spans="1:4" x14ac:dyDescent="0.3">
      <c r="A32" t="s">
        <v>30</v>
      </c>
      <c r="B32" t="s">
        <v>20</v>
      </c>
      <c r="C32">
        <v>234</v>
      </c>
    </row>
    <row r="33" spans="1:3" x14ac:dyDescent="0.3">
      <c r="A33" t="s">
        <v>41</v>
      </c>
      <c r="C33" s="5">
        <v>223.88235294117646</v>
      </c>
    </row>
    <row r="34" spans="1:3" x14ac:dyDescent="0.3">
      <c r="A34" t="s">
        <v>28</v>
      </c>
      <c r="B34" t="s">
        <v>20</v>
      </c>
      <c r="C34">
        <v>189</v>
      </c>
    </row>
    <row r="35" spans="1:3" x14ac:dyDescent="0.3">
      <c r="A35" t="s">
        <v>27</v>
      </c>
      <c r="B35" t="s">
        <v>20</v>
      </c>
      <c r="C35">
        <v>175</v>
      </c>
    </row>
    <row r="36" spans="1:3" x14ac:dyDescent="0.3">
      <c r="A36" t="s">
        <v>32</v>
      </c>
      <c r="B36" t="s">
        <v>20</v>
      </c>
      <c r="C36">
        <v>140</v>
      </c>
    </row>
    <row r="37" spans="1:3" x14ac:dyDescent="0.3">
      <c r="A37" t="s">
        <v>31</v>
      </c>
      <c r="B37" t="s">
        <v>20</v>
      </c>
      <c r="C37">
        <v>130</v>
      </c>
    </row>
    <row r="38" spans="1:3" x14ac:dyDescent="0.3">
      <c r="A38" t="s">
        <v>35</v>
      </c>
      <c r="B38" t="s">
        <v>20</v>
      </c>
      <c r="C38">
        <v>109</v>
      </c>
    </row>
    <row r="39" spans="1:3" x14ac:dyDescent="0.3">
      <c r="A39" t="s">
        <v>29</v>
      </c>
      <c r="B39" t="s">
        <v>20</v>
      </c>
      <c r="C39">
        <v>95</v>
      </c>
    </row>
    <row r="40" spans="1:3" x14ac:dyDescent="0.3">
      <c r="A40" t="s">
        <v>33</v>
      </c>
      <c r="B40" t="s">
        <v>34</v>
      </c>
      <c r="C40">
        <v>48</v>
      </c>
    </row>
    <row r="41" spans="1:3" x14ac:dyDescent="0.3">
      <c r="A41" t="s">
        <v>36</v>
      </c>
      <c r="B41" t="s">
        <v>37</v>
      </c>
      <c r="C41">
        <v>39</v>
      </c>
    </row>
    <row r="42" spans="1:3" x14ac:dyDescent="0.3">
      <c r="A42" t="s">
        <v>38</v>
      </c>
      <c r="B42" t="s">
        <v>39</v>
      </c>
      <c r="C42">
        <v>16</v>
      </c>
    </row>
  </sheetData>
  <autoFilter ref="A24:C41" xr:uid="{93496868-C99A-45CE-9F77-7273E05FB1CA}">
    <sortState xmlns:xlrd2="http://schemas.microsoft.com/office/spreadsheetml/2017/richdata2" ref="A25:C42">
      <sortCondition descending="1" ref="C24:C4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A42B-4578-4F09-890A-FF95AAF3C5C4}">
  <dimension ref="A3:C7"/>
  <sheetViews>
    <sheetView workbookViewId="0">
      <selection activeCell="B11" sqref="B11"/>
    </sheetView>
  </sheetViews>
  <sheetFormatPr defaultRowHeight="14.4" x14ac:dyDescent="0.3"/>
  <cols>
    <col min="1" max="1" width="15.88671875" bestFit="1" customWidth="1"/>
    <col min="2" max="2" width="17.33203125" bestFit="1" customWidth="1"/>
    <col min="3" max="3" width="20.5546875" bestFit="1" customWidth="1"/>
  </cols>
  <sheetData>
    <row r="3" spans="1:3" x14ac:dyDescent="0.3">
      <c r="A3" t="s">
        <v>42</v>
      </c>
      <c r="B3" t="s">
        <v>17</v>
      </c>
      <c r="C3" t="s">
        <v>2</v>
      </c>
    </row>
    <row r="4" spans="1:3" x14ac:dyDescent="0.3">
      <c r="A4" t="s">
        <v>7</v>
      </c>
      <c r="B4" t="s">
        <v>22</v>
      </c>
      <c r="C4" s="5">
        <v>73574.549213000006</v>
      </c>
    </row>
    <row r="5" spans="1:3" x14ac:dyDescent="0.3">
      <c r="A5" t="s">
        <v>4</v>
      </c>
      <c r="B5" t="s">
        <v>19</v>
      </c>
      <c r="C5" s="5">
        <v>8660468.6969390009</v>
      </c>
    </row>
    <row r="6" spans="1:3" x14ac:dyDescent="0.3">
      <c r="A6" t="s">
        <v>6</v>
      </c>
      <c r="B6" t="s">
        <v>21</v>
      </c>
      <c r="C6" s="5">
        <v>246448.43432500001</v>
      </c>
    </row>
    <row r="7" spans="1:3" x14ac:dyDescent="0.3">
      <c r="A7" t="s">
        <v>5</v>
      </c>
      <c r="B7" t="s">
        <v>21</v>
      </c>
      <c r="C7" s="5">
        <v>1571664.9777530001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0AFD-D5E9-427A-9359-17D0A27D834D}">
  <dimension ref="B3:F63"/>
  <sheetViews>
    <sheetView tabSelected="1" workbookViewId="0">
      <selection activeCell="E10" sqref="E10"/>
    </sheetView>
  </sheetViews>
  <sheetFormatPr defaultRowHeight="14.4" x14ac:dyDescent="0.3"/>
  <cols>
    <col min="2" max="2" width="12.33203125" bestFit="1" customWidth="1"/>
    <col min="3" max="3" width="17.88671875" bestFit="1" customWidth="1"/>
    <col min="4" max="4" width="12.33203125" bestFit="1" customWidth="1"/>
    <col min="5" max="5" width="15.33203125" bestFit="1" customWidth="1"/>
    <col min="6" max="6" width="8.109375" bestFit="1" customWidth="1"/>
  </cols>
  <sheetData>
    <row r="3" spans="2:4" x14ac:dyDescent="0.3">
      <c r="B3" t="s">
        <v>1</v>
      </c>
      <c r="C3" t="s">
        <v>2</v>
      </c>
      <c r="D3" t="s">
        <v>44</v>
      </c>
    </row>
    <row r="4" spans="2:4" x14ac:dyDescent="0.3">
      <c r="B4" t="s">
        <v>4</v>
      </c>
      <c r="C4" s="5">
        <v>332881940.93559998</v>
      </c>
      <c r="D4" t="s">
        <v>43</v>
      </c>
    </row>
    <row r="5" spans="2:4" x14ac:dyDescent="0.3">
      <c r="B5" t="s">
        <v>5</v>
      </c>
      <c r="C5" s="5">
        <v>345583475.70469999</v>
      </c>
      <c r="D5" t="s">
        <v>43</v>
      </c>
    </row>
    <row r="6" spans="2:4" x14ac:dyDescent="0.3">
      <c r="B6" t="s">
        <v>6</v>
      </c>
      <c r="C6" s="5">
        <v>174762271.99649999</v>
      </c>
      <c r="D6" t="s">
        <v>43</v>
      </c>
    </row>
    <row r="7" spans="2:4" x14ac:dyDescent="0.3">
      <c r="B7" t="s">
        <v>7</v>
      </c>
      <c r="C7" s="5">
        <v>79730355.272100002</v>
      </c>
      <c r="D7" t="s">
        <v>43</v>
      </c>
    </row>
    <row r="27" spans="3:5" x14ac:dyDescent="0.3">
      <c r="C27" t="s">
        <v>1</v>
      </c>
      <c r="D27" t="s">
        <v>2</v>
      </c>
      <c r="E27" t="s">
        <v>44</v>
      </c>
    </row>
    <row r="28" spans="3:5" x14ac:dyDescent="0.3">
      <c r="C28" t="s">
        <v>4</v>
      </c>
      <c r="D28" s="5">
        <v>343370846.22140002</v>
      </c>
      <c r="E28" t="s">
        <v>45</v>
      </c>
    </row>
    <row r="29" spans="3:5" x14ac:dyDescent="0.3">
      <c r="C29" t="s">
        <v>5</v>
      </c>
      <c r="D29" s="5">
        <v>294620442.80659997</v>
      </c>
      <c r="E29" t="s">
        <v>45</v>
      </c>
    </row>
    <row r="30" spans="3:5" x14ac:dyDescent="0.3">
      <c r="C30" t="s">
        <v>6</v>
      </c>
      <c r="D30" s="5">
        <v>164884951.20649999</v>
      </c>
      <c r="E30" t="s">
        <v>45</v>
      </c>
    </row>
    <row r="31" spans="3:5" x14ac:dyDescent="0.3">
      <c r="C31" t="s">
        <v>7</v>
      </c>
      <c r="D31" s="5">
        <v>84210981.804000005</v>
      </c>
      <c r="E31" t="s">
        <v>45</v>
      </c>
    </row>
    <row r="40" spans="3:6" x14ac:dyDescent="0.3">
      <c r="C40" t="s">
        <v>0</v>
      </c>
      <c r="D40" t="s">
        <v>1</v>
      </c>
      <c r="E40" t="s">
        <v>2</v>
      </c>
      <c r="F40" t="s">
        <v>44</v>
      </c>
    </row>
    <row r="41" spans="3:6" x14ac:dyDescent="0.3">
      <c r="C41">
        <v>1</v>
      </c>
      <c r="D41" t="s">
        <v>4</v>
      </c>
      <c r="E41" s="5">
        <v>232235239.5934</v>
      </c>
      <c r="F41" t="s">
        <v>46</v>
      </c>
    </row>
    <row r="42" spans="3:6" x14ac:dyDescent="0.3">
      <c r="C42">
        <v>2</v>
      </c>
      <c r="D42" t="s">
        <v>5</v>
      </c>
      <c r="E42" s="5">
        <v>94358024.980100006</v>
      </c>
      <c r="F42" t="s">
        <v>46</v>
      </c>
    </row>
    <row r="43" spans="3:6" x14ac:dyDescent="0.3">
      <c r="C43">
        <v>3</v>
      </c>
      <c r="D43" t="s">
        <v>6</v>
      </c>
      <c r="E43" s="5">
        <v>79488360.768800005</v>
      </c>
      <c r="F43" t="s">
        <v>46</v>
      </c>
    </row>
    <row r="44" spans="3:6" x14ac:dyDescent="0.3">
      <c r="C44">
        <v>4</v>
      </c>
      <c r="D44" t="s">
        <v>7</v>
      </c>
      <c r="E44" s="5">
        <v>37209467.109700002</v>
      </c>
      <c r="F44" t="s">
        <v>46</v>
      </c>
    </row>
    <row r="59" spans="3:6" x14ac:dyDescent="0.3">
      <c r="C59" t="s">
        <v>0</v>
      </c>
      <c r="D59" t="s">
        <v>1</v>
      </c>
      <c r="E59" t="s">
        <v>2</v>
      </c>
      <c r="F59" t="s">
        <v>44</v>
      </c>
    </row>
    <row r="60" spans="3:6" x14ac:dyDescent="0.3">
      <c r="C60">
        <v>1</v>
      </c>
      <c r="D60" t="s">
        <v>4</v>
      </c>
      <c r="E60" s="5">
        <v>281357381.60750002</v>
      </c>
      <c r="F60" t="s">
        <v>47</v>
      </c>
    </row>
    <row r="61" spans="3:6" x14ac:dyDescent="0.3">
      <c r="C61">
        <v>2</v>
      </c>
      <c r="D61" t="s">
        <v>5</v>
      </c>
      <c r="E61" s="5">
        <v>196007367.02289999</v>
      </c>
      <c r="F61" t="s">
        <v>47</v>
      </c>
    </row>
    <row r="62" spans="3:6" x14ac:dyDescent="0.3">
      <c r="C62">
        <v>3</v>
      </c>
      <c r="D62" t="s">
        <v>6</v>
      </c>
      <c r="E62" s="5">
        <v>123333278.46780001</v>
      </c>
      <c r="F62" t="s">
        <v>47</v>
      </c>
    </row>
    <row r="63" spans="3:6" x14ac:dyDescent="0.3">
      <c r="C63">
        <v>4</v>
      </c>
      <c r="D63" t="s">
        <v>7</v>
      </c>
      <c r="E63" s="5">
        <v>62935738.543799996</v>
      </c>
      <c r="F63" t="s">
        <v>47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61A7-71EE-47DE-9F39-EDA5C202965F}">
  <dimension ref="A7:E17"/>
  <sheetViews>
    <sheetView topLeftCell="B1" zoomScaleNormal="100" workbookViewId="0">
      <selection activeCell="E25" sqref="E25"/>
    </sheetView>
  </sheetViews>
  <sheetFormatPr defaultRowHeight="14.4" x14ac:dyDescent="0.3"/>
  <cols>
    <col min="1" max="1" width="31.44140625" bestFit="1" customWidth="1"/>
    <col min="2" max="2" width="14.33203125" bestFit="1" customWidth="1"/>
    <col min="3" max="3" width="11.44140625" bestFit="1" customWidth="1"/>
    <col min="4" max="4" width="19.109375" bestFit="1" customWidth="1"/>
    <col min="5" max="5" width="19.44140625" bestFit="1" customWidth="1"/>
  </cols>
  <sheetData>
    <row r="7" spans="1:5" x14ac:dyDescent="0.3">
      <c r="A7" t="s">
        <v>48</v>
      </c>
      <c r="B7" t="s">
        <v>15</v>
      </c>
      <c r="C7" t="s">
        <v>16</v>
      </c>
      <c r="D7" t="s">
        <v>49</v>
      </c>
      <c r="E7" t="s">
        <v>50</v>
      </c>
    </row>
    <row r="8" spans="1:5" x14ac:dyDescent="0.3">
      <c r="A8" t="s">
        <v>51</v>
      </c>
      <c r="B8" t="s">
        <v>7</v>
      </c>
      <c r="C8">
        <v>4688</v>
      </c>
      <c r="D8" s="4">
        <v>65184.6299</v>
      </c>
      <c r="E8">
        <v>334</v>
      </c>
    </row>
    <row r="9" spans="1:5" x14ac:dyDescent="0.3">
      <c r="A9" t="s">
        <v>52</v>
      </c>
      <c r="B9" t="s">
        <v>7</v>
      </c>
      <c r="C9">
        <v>3354</v>
      </c>
      <c r="D9" s="4">
        <v>43423.3848</v>
      </c>
      <c r="E9">
        <v>239</v>
      </c>
    </row>
    <row r="10" spans="1:5" x14ac:dyDescent="0.3">
      <c r="A10" t="s">
        <v>53</v>
      </c>
      <c r="B10" t="s">
        <v>7</v>
      </c>
      <c r="C10">
        <v>3095</v>
      </c>
      <c r="D10" s="4">
        <v>5212.0082000000002</v>
      </c>
      <c r="E10">
        <v>221</v>
      </c>
    </row>
    <row r="11" spans="1:5" x14ac:dyDescent="0.3">
      <c r="A11" t="s">
        <v>54</v>
      </c>
      <c r="B11" t="s">
        <v>7</v>
      </c>
      <c r="C11">
        <v>2376</v>
      </c>
      <c r="D11" s="4">
        <v>6125.7241999999997</v>
      </c>
      <c r="E11">
        <v>169</v>
      </c>
    </row>
    <row r="12" spans="1:5" x14ac:dyDescent="0.3">
      <c r="A12" t="s">
        <v>55</v>
      </c>
      <c r="B12" t="s">
        <v>7</v>
      </c>
      <c r="C12">
        <v>2121</v>
      </c>
      <c r="D12" s="4">
        <v>14080.5254</v>
      </c>
      <c r="E12">
        <v>151</v>
      </c>
    </row>
    <row r="13" spans="1:5" x14ac:dyDescent="0.3">
      <c r="A13" t="s">
        <v>56</v>
      </c>
      <c r="B13" t="s">
        <v>7</v>
      </c>
      <c r="C13">
        <v>2025</v>
      </c>
      <c r="D13" s="4">
        <v>14583.1523</v>
      </c>
      <c r="E13">
        <v>144</v>
      </c>
    </row>
    <row r="14" spans="1:5" x14ac:dyDescent="0.3">
      <c r="A14" t="s">
        <v>57</v>
      </c>
      <c r="B14" t="s">
        <v>7</v>
      </c>
      <c r="C14">
        <v>1712</v>
      </c>
      <c r="D14" s="4">
        <v>19748.462100000001</v>
      </c>
      <c r="E14">
        <v>122</v>
      </c>
    </row>
    <row r="15" spans="1:5" x14ac:dyDescent="0.3">
      <c r="A15" t="s">
        <v>58</v>
      </c>
      <c r="B15" t="s">
        <v>7</v>
      </c>
      <c r="C15">
        <v>1488</v>
      </c>
      <c r="D15" s="4">
        <v>5257.3658999999998</v>
      </c>
      <c r="E15">
        <v>106</v>
      </c>
    </row>
    <row r="16" spans="1:5" x14ac:dyDescent="0.3">
      <c r="A16" t="s">
        <v>59</v>
      </c>
      <c r="B16" t="s">
        <v>7</v>
      </c>
      <c r="C16">
        <v>1396</v>
      </c>
      <c r="D16" s="4">
        <v>13896.938899999999</v>
      </c>
      <c r="E16">
        <v>99</v>
      </c>
    </row>
    <row r="17" spans="1:5" x14ac:dyDescent="0.3">
      <c r="A17" t="s">
        <v>60</v>
      </c>
      <c r="B17" t="s">
        <v>7</v>
      </c>
      <c r="C17">
        <v>1327</v>
      </c>
      <c r="D17" s="4">
        <v>195884.19510000001</v>
      </c>
      <c r="E17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 procedura</vt:lpstr>
      <vt:lpstr>2nd Procedure</vt:lpstr>
      <vt:lpstr>3nd Procedure</vt:lpstr>
      <vt:lpstr>3.1 Procedure</vt:lpstr>
      <vt:lpstr>4nd Procedure</vt:lpstr>
      <vt:lpstr>5nd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Vlase Nedelcu</dc:creator>
  <cp:lastModifiedBy>Andrei Saracu</cp:lastModifiedBy>
  <dcterms:created xsi:type="dcterms:W3CDTF">2025-03-11T18:25:18Z</dcterms:created>
  <dcterms:modified xsi:type="dcterms:W3CDTF">2025-03-14T09:52:44Z</dcterms:modified>
</cp:coreProperties>
</file>